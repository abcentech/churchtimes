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Model" sheetId="2" r:id="rId2"/>
    <sheet name="Cash 13 weeks" sheetId="3" r:id="rId3"/>
    <sheet name="Pipeline" sheetId="4" r:id="rId4"/>
    <sheet name="Special edition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<sst xmlns="http://schemas.openxmlformats.org/spreadsheetml/2006/main" count="92" uniqueCount="90">
  <si>
    <t>CHURCH TIMES NIGERIA · PROPOSED OPERATING SYSTEM</t>
  </si>
  <si>
    <t>Status</t>
  </si>
  <si>
    <t>Planning template, not actual accounts or a forecast. Blue cells are editable. Formula cells are not protected; do not overwrite them unintentionally.</t>
  </si>
  <si>
    <t>Model</t>
  </si>
  <si>
    <t>Monthly revenue, contribution and break-even membership. Defaults are unvalidated hypotheses. Revenue is not collected cash. Excludes taxes, payment fees and bad debt until separately added.</t>
  </si>
  <si>
    <t>Cash 13 weeks</t>
  </si>
  <si>
    <t>Enter actual receipts and payments by due week. Defaults show zero receipts and an estimated weekly fixed-cost allocation. Replace the smoothed cost estimate with actual payment dates and amounts. Negative cash flags required funding; positive cash does not prove profitability.</t>
  </si>
  <si>
    <t>Pipeline</t>
  </si>
  <si>
    <t>Enter permissioned prospects only. Suggested stage probabilities are not forecasts. Weighted proposals are neither earned revenue nor cash. No real contacts are included.</t>
  </si>
  <si>
    <t>Special edition</t>
  </si>
  <si>
    <t>Verify the founder’s provisional ₦2m against a fresh quote. Adjust contingency, tax and commissions as necessary. Commit production only when cleared cash covers all approved committed costs, and signed terms/rights/capacity are confirmed.</t>
  </si>
  <si>
    <t>Dashboard</t>
  </si>
  <si>
    <t>Actual monthly values are blank/zero placeholders. Populate from reconciled bank/accounting and member records. Cash runway is simplified; use the dated 13-week forecast for decisions.</t>
  </si>
  <si>
    <t>Privacy</t>
  </si>
  <si>
    <t>Keep the completed workbook in an access-controlled company location. Do not put credentials or payment-card details here. Consent source and opt-out records must be respected.</t>
  </si>
  <si>
    <t>Governance</t>
  </si>
  <si>
    <t>Founder/editor guards mission; commercial lead owns sales and collections; digital owner operates distribution; bookkeeper reconciles. Have a second person review material spending and conflicts.</t>
  </si>
  <si>
    <t>Next step</t>
  </si>
  <si>
    <t>Approve owners, actual starting cash, costs, legal name, tax treatment, contact-list permissions, and current website/CMS manager. See docs/financial-plan.md and docs/research-and-discovery.md.</t>
  </si>
  <si>
    <t>MONTHLY SCENARIO · HYPOTHESES, NOT ACTUAL ACCOUNTS</t>
  </si>
  <si>
    <t>Paying members</t>
  </si>
  <si>
    <t>Membership fee</t>
  </si>
  <si>
    <t>Paying sponsors</t>
  </si>
  <si>
    <t>Fee per sponsor</t>
  </si>
  <si>
    <t>Project revenue</t>
  </si>
  <si>
    <t>Fixed costs</t>
  </si>
  <si>
    <t>Member delivery rate</t>
  </si>
  <si>
    <t>Sponsor delivery rate</t>
  </si>
  <si>
    <t>Project delivery rate</t>
  </si>
  <si>
    <t>Gross revenue</t>
  </si>
  <si>
    <t>Delivery costs</t>
  </si>
  <si>
    <t>Contribution</t>
  </si>
  <si>
    <t>Operating result</t>
  </si>
  <si>
    <t>Operating margin</t>
  </si>
  <si>
    <t>Break-even members</t>
  </si>
  <si>
    <t>3-month fixed-cost reserve</t>
  </si>
  <si>
    <t>Baseline: ₦85,000 operating surplus before excluded costs; 163 members to break even if sponsors/projects repeat. This is fragile. The contact list, actual cash and willingness to pay are unknown. Revenue does not equal receipts.</t>
  </si>
  <si>
    <t>CASH FORECAST · INPUT COLLECTED RECEIPTS AND DATED PAYMENTS</t>
  </si>
  <si>
    <t>Opening cash</t>
  </si>
  <si>
    <t>Zero placeholder. Enter unrestricted bank cash; keep client delivery/tax funds separate.</t>
  </si>
  <si>
    <t>Week</t>
  </si>
  <si>
    <t>Collected receipts</t>
  </si>
  <si>
    <t>Fixed payments</t>
  </si>
  <si>
    <t>Project / other payments</t>
  </si>
  <si>
    <t>Closing cash</t>
  </si>
  <si>
    <t>Funding needed</t>
  </si>
  <si>
    <t>Receipt / expense notes</t>
  </si>
  <si>
    <t>Owner</t>
  </si>
  <si>
    <t>Fixed payments are initially spread evenly from the Model sheet for illustration. Replace blue cells with actual due-date amounts; enter project/tax/fees/refunds separately. Zero receipts and zero starting cash intentionally show a funding shortfall, not a prediction. Do not substitute invoices for collected cash.</t>
  </si>
  <si>
    <t>PERMISSIONED SALES PIPELINE · NO REAL CONTACTS INCLUDED</t>
  </si>
  <si>
    <t>Organisation</t>
  </si>
  <si>
    <t>Contact / permission</t>
  </si>
  <si>
    <t>Offer</t>
  </si>
  <si>
    <t>Stage</t>
  </si>
  <si>
    <t>Proposed amount</t>
  </si>
  <si>
    <t>Probability</t>
  </si>
  <si>
    <t>Weighted proposal</t>
  </si>
  <si>
    <t>Cash collected</t>
  </si>
  <si>
    <t>Delivery cost estimate</t>
  </si>
  <si>
    <t>Next action date</t>
  </si>
  <si>
    <t>Next action</t>
  </si>
  <si>
    <t>Renewal / restrictions</t>
  </si>
  <si>
    <t>Totals (not earned revenue)</t>
  </si>
  <si>
    <t>Probabilities are planning estimates only. Signed proposals and weighted pipeline are not cash. Record permission/source, written terms, a named next action and collections. Sponsor influence over independent reporting is prohibited. No personal data should be imported without a lawful purpose and appropriate controls.</t>
  </si>
  <si>
    <t>PRINT PROJECT · CASH GATE BEFORE PRODUCTION</t>
  </si>
  <si>
    <t>Verified all-in cost (provisional)</t>
  </si>
  <si>
    <t>Contingency rate</t>
  </si>
  <si>
    <t>Target margin on sales</t>
  </si>
  <si>
    <t>Cleared project cash</t>
  </si>
  <si>
    <t>Committed cost + contingency</t>
  </si>
  <si>
    <t>Sales required for target margin</t>
  </si>
  <si>
    <t>Cash coverage gap</t>
  </si>
  <si>
    <t>Funding gate</t>
  </si>
  <si>
    <t>Gate is cash coverage plus signed terms, rights, capacity and independent editorial approval. ₦2m comes from the interview and is not a fresh quotation. Include tax, sales commission and delivery costs in the verified cost; if they depend on sales, revise the model before use. Do not spend deposits on unrelated operating losses.</t>
  </si>
  <si>
    <t>MONTHLY ACTUALS · ENTER RECONCILED RECORDS</t>
  </si>
  <si>
    <t>Unrestricted operating cash</t>
  </si>
  <si>
    <t>Monthly net cash burn</t>
  </si>
  <si>
    <t>Active paid members</t>
  </si>
  <si>
    <t>Members at start of month</t>
  </si>
  <si>
    <t>New paid members</t>
  </si>
  <si>
    <t>Cancelled / failed renewals</t>
  </si>
  <si>
    <t>Collected monthly receipts</t>
  </si>
  <si>
    <t>Largest sponsor receipts</t>
  </si>
  <si>
    <t>Overdue receivables</t>
  </si>
  <si>
    <t>Cash runway (months)</t>
  </si>
  <si>
    <t>Monthly churn</t>
  </si>
  <si>
    <t>Largest sponsor concentration</t>
  </si>
  <si>
    <t>Expected closing member count</t>
  </si>
  <si>
    <t>Member reconciliation difference</t>
  </si>
  <si>
    <t>Actual records are currently unknown. All zeros are placeholders, not verified results. Investigate any member reconciliation difference. Proposed concentration review trigger: 25%. Cash runway is meaningful only with realistic cash burn and exclusions for restricted funds.</t>
  </si>
</sst>
</file>

<file path=xl/styles.xml><?xml version="1.0" encoding="utf-8"?>
<styleSheet xmlns="http://schemas.openxmlformats.org/spreadsheetml/2006/main">
  <numFmts count="3">
    <numFmt numFmtId="164" formatCode="&quot;₦&quot;#,##0;[Red](&quot;₦&quot;#,##0)"/>
    <numFmt numFmtId="165" formatCode="0.0%"/>
    <numFmt numFmtId="166" formatCode="0%"/>
  </numFmts>
  <fonts count="4">
    <font>
      <sz val="11"/>
      <color theme="1"/>
      <name val="Calibri"/>
      <family val="2"/>
      <scheme val="minor"/>
    </font>
    <font>
      <b/>
      <sz val="11"/>
      <color rgb="FFF6F3EA"/>
      <name val="Calibri"/>
      <family val="2"/>
      <scheme val="minor"/>
    </font>
    <font>
      <b/>
      <sz val="11"/>
      <color rgb="FF173B32"/>
      <name val="Calibri"/>
      <family val="2"/>
      <scheme val="minor"/>
    </font>
    <font>
      <sz val="11"/>
      <color rgb="FF61675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B32"/>
        <bgColor indexed="64"/>
      </patternFill>
    </fill>
    <fill>
      <patternFill patternType="solid">
        <fgColor rgb="FFEA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1" fontId="0" fillId="3" borderId="0" xfId="0" applyNumberFormat="1" applyFill="1"/>
    <xf numFmtId="164" fontId="0" fillId="0" borderId="0" xfId="0" applyNumberFormat="1"/>
    <xf numFmtId="164" fontId="0" fillId="3" borderId="0" xfId="0" applyNumberFormat="1" applyFill="1"/>
    <xf numFmtId="165" fontId="0" fillId="0" borderId="0" xfId="0" applyNumberFormat="1"/>
    <xf numFmtId="166" fontId="0" fillId="3" borderId="0" xfId="0" applyNumberForma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2">
    <dxf>
      <font>
        <color rgb="FF8A3523"/>
      </font>
      <fill>
        <patternFill>
          <bgColor rgb="FFF6D8CC"/>
        </patternFill>
      </fill>
    </dxf>
    <dxf>
      <font>
        <color rgb="FF173B32"/>
      </font>
      <fill>
        <patternFill>
          <bgColor rgb="FFDFE5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0.7109375" customWidth="1"/>
    <col min="2" max="2" width="100.7109375" customWidth="1"/>
  </cols>
  <sheetData>
    <row r="1" spans="1:2" ht="30" customHeight="1">
      <c r="A1" s="1" t="s">
        <v>0</v>
      </c>
      <c r="B1" s="1"/>
    </row>
    <row r="4" spans="1:2" ht="66" customHeight="1">
      <c r="A4" s="2" t="s">
        <v>1</v>
      </c>
      <c r="B4" s="3" t="s">
        <v>2</v>
      </c>
    </row>
    <row r="5" spans="1:2" ht="66" customHeight="1">
      <c r="A5" s="2" t="s">
        <v>3</v>
      </c>
      <c r="B5" s="3" t="s">
        <v>4</v>
      </c>
    </row>
    <row r="6" spans="1:2" ht="66" customHeight="1">
      <c r="A6" s="2" t="s">
        <v>5</v>
      </c>
      <c r="B6" s="3" t="s">
        <v>6</v>
      </c>
    </row>
    <row r="7" spans="1:2" ht="66" customHeight="1">
      <c r="A7" s="2" t="s">
        <v>7</v>
      </c>
      <c r="B7" s="3" t="s">
        <v>8</v>
      </c>
    </row>
    <row r="8" spans="1:2" ht="66" customHeight="1">
      <c r="A8" s="2" t="s">
        <v>9</v>
      </c>
      <c r="B8" s="3" t="s">
        <v>10</v>
      </c>
    </row>
    <row r="9" spans="1:2" ht="66" customHeight="1">
      <c r="A9" s="2" t="s">
        <v>11</v>
      </c>
      <c r="B9" s="3" t="s">
        <v>12</v>
      </c>
    </row>
    <row r="10" spans="1:2" ht="66" customHeight="1">
      <c r="A10" s="2" t="s">
        <v>13</v>
      </c>
      <c r="B10" s="3" t="s">
        <v>14</v>
      </c>
    </row>
    <row r="11" spans="1:2" ht="66" customHeight="1">
      <c r="A11" s="2" t="s">
        <v>15</v>
      </c>
      <c r="B11" s="3" t="s">
        <v>16</v>
      </c>
    </row>
    <row r="12" spans="1:2" ht="66" customHeight="1">
      <c r="A12" s="2" t="s">
        <v>17</v>
      </c>
      <c r="B12" s="3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0.7109375" customWidth="1"/>
    <col min="2" max="2" width="24.7109375" customWidth="1"/>
    <col min="4" max="4" width="44.7109375" customWidth="1"/>
    <col min="5" max="5" width="24.7109375" customWidth="1"/>
  </cols>
  <sheetData>
    <row r="1" spans="1:5" ht="30" customHeight="1">
      <c r="A1" s="1" t="s">
        <v>19</v>
      </c>
      <c r="B1" s="1"/>
      <c r="C1" s="1"/>
      <c r="D1" s="1"/>
      <c r="E1" s="1"/>
    </row>
    <row r="4" spans="1:5">
      <c r="A4" s="2" t="s">
        <v>20</v>
      </c>
      <c r="B4" s="4">
        <v>200</v>
      </c>
      <c r="D4" s="2" t="s">
        <v>29</v>
      </c>
      <c r="E4" s="5">
        <f>B4*B5+B6*B7+B8</f>
        <v>1200000</v>
      </c>
    </row>
    <row r="5" spans="1:5">
      <c r="A5" s="2" t="s">
        <v>21</v>
      </c>
      <c r="B5" s="6">
        <v>2500</v>
      </c>
      <c r="D5" s="2" t="s">
        <v>30</v>
      </c>
      <c r="E5" s="5">
        <f>B4*B5*B10+B6*B7*B11+B8*B12</f>
        <v>265000</v>
      </c>
    </row>
    <row r="6" spans="1:5">
      <c r="A6" s="2" t="s">
        <v>22</v>
      </c>
      <c r="B6" s="4">
        <v>2</v>
      </c>
      <c r="D6" s="2" t="s">
        <v>31</v>
      </c>
      <c r="E6" s="5">
        <f>E4-E5</f>
        <v>935000</v>
      </c>
    </row>
    <row r="7" spans="1:5">
      <c r="A7" s="2" t="s">
        <v>23</v>
      </c>
      <c r="B7" s="6">
        <v>200000</v>
      </c>
      <c r="D7" s="2" t="s">
        <v>32</v>
      </c>
      <c r="E7" s="5">
        <f>E6-B9</f>
        <v>85000</v>
      </c>
    </row>
    <row r="8" spans="1:5">
      <c r="A8" s="2" t="s">
        <v>24</v>
      </c>
      <c r="B8" s="6">
        <v>300000</v>
      </c>
      <c r="D8" s="2" t="s">
        <v>33</v>
      </c>
      <c r="E8" s="7">
        <f>IF(E4=0,0,E7/E4)</f>
        <v>0.07083333333333333</v>
      </c>
    </row>
    <row r="9" spans="1:5">
      <c r="A9" s="2" t="s">
        <v>25</v>
      </c>
      <c r="B9" s="6">
        <v>850000</v>
      </c>
      <c r="D9" s="2" t="s">
        <v>34</v>
      </c>
      <c r="E9">
        <f>IF(MAX(0,B9-B6*B7*(1-B11)-B8*(1-B12))=0,0,IF(B5*(1-B10)&gt;0,ROUNDUP(MAX(0,B9-B6*B7*(1-B11)-B8*(1-B12))/(B5*(1-B10)),0),"Not attainable"))</f>
        <v>163</v>
      </c>
    </row>
    <row r="10" spans="1:5">
      <c r="A10" s="2" t="s">
        <v>26</v>
      </c>
      <c r="B10" s="8">
        <v>0.1</v>
      </c>
      <c r="D10" s="2" t="s">
        <v>35</v>
      </c>
      <c r="E10" s="5">
        <f>B9*3</f>
        <v>2550000</v>
      </c>
    </row>
    <row r="11" spans="1:5">
      <c r="A11" s="2" t="s">
        <v>27</v>
      </c>
      <c r="B11" s="8">
        <v>0.2</v>
      </c>
    </row>
    <row r="12" spans="1:5">
      <c r="A12" s="2" t="s">
        <v>28</v>
      </c>
      <c r="B12" s="8">
        <v>0.45</v>
      </c>
    </row>
    <row r="15" spans="1:5">
      <c r="A15" s="3" t="s">
        <v>36</v>
      </c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</sheetData>
  <mergeCells count="2">
    <mergeCell ref="A1:E1"/>
    <mergeCell ref="A15:E17"/>
  </mergeCells>
  <conditionalFormatting sqref="E7">
    <cfRule type="cellIs" dxfId="0" priority="1" operator="lessThan">
      <formula>0</formula>
    </cfRule>
    <cfRule type="cellIs" dxfId="1" priority="2" operator="greaterThanOrEqual">
      <formula>0</formula>
    </cfRule>
  </conditionalFormatting>
  <dataValidations count="5">
    <dataValidation type="whole" operator="greaterThanOrEqual" allowBlank="1" showInputMessage="1" showErrorMessage="1" sqref="B4">
      <formula1>0</formula1>
    </dataValidation>
    <dataValidation type="whole" operator="greaterThanOrEqual" allowBlank="1" showInputMessage="1" showErrorMessage="1" sqref="B6">
      <formula1>0</formula1>
    </dataValidation>
    <dataValidation type="decimal" operator="greaterThanOrEqual" allowBlank="1" showInputMessage="1" showErrorMessage="1" sqref="B5">
      <formula1>0</formula1>
    </dataValidation>
    <dataValidation type="decimal" operator="greaterThanOrEqual" allowBlank="1" showInputMessage="1" showErrorMessage="1" sqref="B7:B9">
      <formula1>0</formula1>
    </dataValidation>
    <dataValidation type="decimal" allowBlank="1" showInputMessage="1" showErrorMessage="1" sqref="B10:B12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9" width="23.7109375" customWidth="1"/>
  </cols>
  <sheetData>
    <row r="1" spans="1:9" ht="30" customHeight="1">
      <c r="A1" s="1" t="s">
        <v>37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38</v>
      </c>
      <c r="B2" s="6">
        <v>0</v>
      </c>
      <c r="C2" s="3" t="s">
        <v>39</v>
      </c>
      <c r="D2" s="3"/>
      <c r="E2" s="3"/>
      <c r="F2" s="3"/>
      <c r="G2" s="3"/>
      <c r="H2" s="3"/>
      <c r="I2" s="3"/>
    </row>
    <row r="3" spans="1:9" ht="40" customHeight="1">
      <c r="A3" s="1" t="s">
        <v>40</v>
      </c>
      <c r="B3" s="1" t="s">
        <v>38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</row>
    <row r="4" spans="1:9">
      <c r="A4">
        <v>1</v>
      </c>
      <c r="B4" s="5">
        <f>$B$2</f>
        <v>0</v>
      </c>
      <c r="C4" s="6">
        <v>0</v>
      </c>
      <c r="D4" s="6">
        <f>Model!$B$9*12/52</f>
        <v>196153.84615384616</v>
      </c>
      <c r="E4" s="6">
        <v>0</v>
      </c>
      <c r="F4" s="5">
        <f>B4+C4-D4-E4</f>
        <v>-196153.84615384616</v>
      </c>
      <c r="G4" s="5">
        <f>MAX(0,-F4)</f>
        <v>196153.84615384616</v>
      </c>
      <c r="H4" s="9"/>
      <c r="I4" s="9"/>
    </row>
    <row r="5" spans="1:9">
      <c r="A5">
        <v>2</v>
      </c>
      <c r="B5" s="5">
        <f>F4</f>
        <v>-196153.84615384616</v>
      </c>
      <c r="C5" s="6">
        <v>0</v>
      </c>
      <c r="D5" s="6">
        <f>Model!$B$9*12/52</f>
        <v>196153.84615384616</v>
      </c>
      <c r="E5" s="6">
        <v>0</v>
      </c>
      <c r="F5" s="5">
        <f>B5+C5-D5-E5</f>
        <v>-392307.6923076923</v>
      </c>
      <c r="G5" s="5">
        <f>MAX(0,-F5)</f>
        <v>392307.6923076923</v>
      </c>
      <c r="H5" s="9"/>
      <c r="I5" s="9"/>
    </row>
    <row r="6" spans="1:9">
      <c r="A6">
        <v>3</v>
      </c>
      <c r="B6" s="5">
        <f>F5</f>
        <v>-392307.6923076923</v>
      </c>
      <c r="C6" s="6">
        <v>0</v>
      </c>
      <c r="D6" s="6">
        <f>Model!$B$9*12/52</f>
        <v>196153.84615384616</v>
      </c>
      <c r="E6" s="6">
        <v>0</v>
      </c>
      <c r="F6" s="5">
        <f>B6+C6-D6-E6</f>
        <v>-588461.5384615385</v>
      </c>
      <c r="G6" s="5">
        <f>MAX(0,-F6)</f>
        <v>588461.5384615385</v>
      </c>
      <c r="H6" s="9"/>
      <c r="I6" s="9"/>
    </row>
    <row r="7" spans="1:9">
      <c r="A7">
        <v>4</v>
      </c>
      <c r="B7" s="5">
        <f>F6</f>
        <v>-588461.5384615385</v>
      </c>
      <c r="C7" s="6">
        <v>0</v>
      </c>
      <c r="D7" s="6">
        <f>Model!$B$9*12/52</f>
        <v>196153.84615384616</v>
      </c>
      <c r="E7" s="6">
        <v>0</v>
      </c>
      <c r="F7" s="5">
        <f>B7+C7-D7-E7</f>
        <v>-784615.3846153846</v>
      </c>
      <c r="G7" s="5">
        <f>MAX(0,-F7)</f>
        <v>784615.3846153846</v>
      </c>
      <c r="H7" s="9"/>
      <c r="I7" s="9"/>
    </row>
    <row r="8" spans="1:9">
      <c r="A8">
        <v>5</v>
      </c>
      <c r="B8" s="5">
        <f>F7</f>
        <v>-784615.3846153846</v>
      </c>
      <c r="C8" s="6">
        <v>0</v>
      </c>
      <c r="D8" s="6">
        <f>Model!$B$9*12/52</f>
        <v>196153.84615384616</v>
      </c>
      <c r="E8" s="6">
        <v>0</v>
      </c>
      <c r="F8" s="5">
        <f>B8+C8-D8-E8</f>
        <v>-980769.2307692308</v>
      </c>
      <c r="G8" s="5">
        <f>MAX(0,-F8)</f>
        <v>980769.2307692308</v>
      </c>
      <c r="H8" s="9"/>
      <c r="I8" s="9"/>
    </row>
    <row r="9" spans="1:9">
      <c r="A9">
        <v>6</v>
      </c>
      <c r="B9" s="5">
        <f>F8</f>
        <v>-980769.2307692308</v>
      </c>
      <c r="C9" s="6">
        <v>0</v>
      </c>
      <c r="D9" s="6">
        <f>Model!$B$9*12/52</f>
        <v>196153.84615384616</v>
      </c>
      <c r="E9" s="6">
        <v>0</v>
      </c>
      <c r="F9" s="5">
        <f>B9+C9-D9-E9</f>
        <v>-1176923.076923077</v>
      </c>
      <c r="G9" s="5">
        <f>MAX(0,-F9)</f>
        <v>1176923.076923077</v>
      </c>
      <c r="H9" s="9"/>
      <c r="I9" s="9"/>
    </row>
    <row r="10" spans="1:9">
      <c r="A10">
        <v>7</v>
      </c>
      <c r="B10" s="5">
        <f>F9</f>
        <v>-1176923.076923077</v>
      </c>
      <c r="C10" s="6">
        <v>0</v>
      </c>
      <c r="D10" s="6">
        <f>Model!$B$9*12/52</f>
        <v>196153.84615384616</v>
      </c>
      <c r="E10" s="6">
        <v>0</v>
      </c>
      <c r="F10" s="5">
        <f>B10+C10-D10-E10</f>
        <v>-1373076.9230769232</v>
      </c>
      <c r="G10" s="5">
        <f>MAX(0,-F10)</f>
        <v>1373076.9230769232</v>
      </c>
      <c r="H10" s="9"/>
      <c r="I10" s="9"/>
    </row>
    <row r="11" spans="1:9">
      <c r="A11">
        <v>8</v>
      </c>
      <c r="B11" s="5">
        <f>F10</f>
        <v>-1373076.9230769232</v>
      </c>
      <c r="C11" s="6">
        <v>0</v>
      </c>
      <c r="D11" s="6">
        <f>Model!$B$9*12/52</f>
        <v>196153.84615384616</v>
      </c>
      <c r="E11" s="6">
        <v>0</v>
      </c>
      <c r="F11" s="5">
        <f>B11+C11-D11-E11</f>
        <v>-1569230.7692307695</v>
      </c>
      <c r="G11" s="5">
        <f>MAX(0,-F11)</f>
        <v>1569230.7692307695</v>
      </c>
      <c r="H11" s="9"/>
      <c r="I11" s="9"/>
    </row>
    <row r="12" spans="1:9">
      <c r="A12">
        <v>9</v>
      </c>
      <c r="B12" s="5">
        <f>F11</f>
        <v>-1569230.7692307695</v>
      </c>
      <c r="C12" s="6">
        <v>0</v>
      </c>
      <c r="D12" s="6">
        <f>Model!$B$9*12/52</f>
        <v>196153.84615384616</v>
      </c>
      <c r="E12" s="6">
        <v>0</v>
      </c>
      <c r="F12" s="5">
        <f>B12+C12-D12-E12</f>
        <v>-1765384.6153846157</v>
      </c>
      <c r="G12" s="5">
        <f>MAX(0,-F12)</f>
        <v>1765384.6153846157</v>
      </c>
      <c r="H12" s="9"/>
      <c r="I12" s="9"/>
    </row>
    <row r="13" spans="1:9">
      <c r="A13">
        <v>10</v>
      </c>
      <c r="B13" s="5">
        <f>F12</f>
        <v>-1765384.6153846157</v>
      </c>
      <c r="C13" s="6">
        <v>0</v>
      </c>
      <c r="D13" s="6">
        <f>Model!$B$9*12/52</f>
        <v>196153.84615384616</v>
      </c>
      <c r="E13" s="6">
        <v>0</v>
      </c>
      <c r="F13" s="5">
        <f>B13+C13-D13-E13</f>
        <v>-1961538.461538462</v>
      </c>
      <c r="G13" s="5">
        <f>MAX(0,-F13)</f>
        <v>1961538.461538462</v>
      </c>
      <c r="H13" s="9"/>
      <c r="I13" s="9"/>
    </row>
    <row r="14" spans="1:9">
      <c r="A14">
        <v>11</v>
      </c>
      <c r="B14" s="5">
        <f>F13</f>
        <v>-1961538.461538462</v>
      </c>
      <c r="C14" s="6">
        <v>0</v>
      </c>
      <c r="D14" s="6">
        <f>Model!$B$9*12/52</f>
        <v>196153.84615384616</v>
      </c>
      <c r="E14" s="6">
        <v>0</v>
      </c>
      <c r="F14" s="5">
        <f>B14+C14-D14-E14</f>
        <v>-2157692.307692308</v>
      </c>
      <c r="G14" s="5">
        <f>MAX(0,-F14)</f>
        <v>2157692.307692308</v>
      </c>
      <c r="H14" s="9"/>
      <c r="I14" s="9"/>
    </row>
    <row r="15" spans="1:9">
      <c r="A15">
        <v>12</v>
      </c>
      <c r="B15" s="5">
        <f>F14</f>
        <v>-2157692.307692308</v>
      </c>
      <c r="C15" s="6">
        <v>0</v>
      </c>
      <c r="D15" s="6">
        <f>Model!$B$9*12/52</f>
        <v>196153.84615384616</v>
      </c>
      <c r="E15" s="6">
        <v>0</v>
      </c>
      <c r="F15" s="5">
        <f>B15+C15-D15-E15</f>
        <v>-2353846.153846154</v>
      </c>
      <c r="G15" s="5">
        <f>MAX(0,-F15)</f>
        <v>2353846.153846154</v>
      </c>
      <c r="H15" s="9"/>
      <c r="I15" s="9"/>
    </row>
    <row r="16" spans="1:9">
      <c r="A16">
        <v>13</v>
      </c>
      <c r="B16" s="5">
        <f>F15</f>
        <v>-2353846.153846154</v>
      </c>
      <c r="C16" s="6">
        <v>0</v>
      </c>
      <c r="D16" s="6">
        <f>Model!$B$9*12/52</f>
        <v>196153.84615384616</v>
      </c>
      <c r="E16" s="6">
        <v>0</v>
      </c>
      <c r="F16" s="5">
        <f>B16+C16-D16-E16</f>
        <v>-2550000.0</v>
      </c>
      <c r="G16" s="5">
        <f>MAX(0,-F16)</f>
        <v>2550000.0</v>
      </c>
      <c r="H16" s="9"/>
      <c r="I16" s="9"/>
    </row>
    <row r="19" spans="1:9">
      <c r="A19" s="3" t="s">
        <v>48</v>
      </c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</sheetData>
  <mergeCells count="3">
    <mergeCell ref="A1:I1"/>
    <mergeCell ref="C2:I2"/>
    <mergeCell ref="A19:I21"/>
  </mergeCells>
  <conditionalFormatting sqref="F4:F16">
    <cfRule type="cellIs" dxfId="0" priority="1" operator="lessThan">
      <formula>0</formula>
    </cfRule>
  </conditionalFormatting>
  <dataValidations count="1">
    <dataValidation type="decimal" operator="greaterThanOrEqual" allowBlank="1" showInputMessage="1" showErrorMessage="1" sqref="C4:E16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23.7109375" customWidth="1"/>
    <col min="3" max="3" width="22.7109375" customWidth="1"/>
    <col min="4" max="5" width="23.7109375" customWidth="1"/>
    <col min="6" max="8" width="20.7109375" customWidth="1"/>
    <col min="9" max="10" width="24.7109375" customWidth="1"/>
    <col min="11" max="13" width="28.7109375" customWidth="1"/>
  </cols>
  <sheetData>
    <row r="1" spans="1:13" ht="30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ht="38" customHeight="1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47</v>
      </c>
      <c r="M3" s="1" t="s">
        <v>61</v>
      </c>
    </row>
    <row r="4" spans="1:13">
      <c r="A4" s="9"/>
      <c r="B4" s="9"/>
      <c r="C4" s="9"/>
      <c r="D4" s="9"/>
      <c r="E4" s="6">
        <v>0</v>
      </c>
      <c r="F4" s="8">
        <v>0</v>
      </c>
      <c r="G4" s="5">
        <f>E4*F4</f>
        <v>0</v>
      </c>
      <c r="H4" s="6">
        <v>0</v>
      </c>
      <c r="I4" s="6">
        <v>0</v>
      </c>
      <c r="J4" s="9"/>
      <c r="K4" s="9"/>
      <c r="L4" s="9"/>
      <c r="M4" s="9"/>
    </row>
    <row r="5" spans="1:13">
      <c r="A5" s="9"/>
      <c r="B5" s="9"/>
      <c r="C5" s="9"/>
      <c r="D5" s="9"/>
      <c r="E5" s="6">
        <v>0</v>
      </c>
      <c r="F5" s="8">
        <v>0</v>
      </c>
      <c r="G5" s="5">
        <f>E5*F5</f>
        <v>0</v>
      </c>
      <c r="H5" s="6">
        <v>0</v>
      </c>
      <c r="I5" s="6">
        <v>0</v>
      </c>
      <c r="J5" s="9"/>
      <c r="K5" s="9"/>
      <c r="L5" s="9"/>
      <c r="M5" s="9"/>
    </row>
    <row r="6" spans="1:13">
      <c r="A6" s="9"/>
      <c r="B6" s="9"/>
      <c r="C6" s="9"/>
      <c r="D6" s="9"/>
      <c r="E6" s="6">
        <v>0</v>
      </c>
      <c r="F6" s="8">
        <v>0</v>
      </c>
      <c r="G6" s="5">
        <f>E6*F6</f>
        <v>0</v>
      </c>
      <c r="H6" s="6">
        <v>0</v>
      </c>
      <c r="I6" s="6">
        <v>0</v>
      </c>
      <c r="J6" s="9"/>
      <c r="K6" s="9"/>
      <c r="L6" s="9"/>
      <c r="M6" s="9"/>
    </row>
    <row r="7" spans="1:13">
      <c r="A7" s="9"/>
      <c r="B7" s="9"/>
      <c r="C7" s="9"/>
      <c r="D7" s="9"/>
      <c r="E7" s="6">
        <v>0</v>
      </c>
      <c r="F7" s="8">
        <v>0</v>
      </c>
      <c r="G7" s="5">
        <f>E7*F7</f>
        <v>0</v>
      </c>
      <c r="H7" s="6">
        <v>0</v>
      </c>
      <c r="I7" s="6">
        <v>0</v>
      </c>
      <c r="J7" s="9"/>
      <c r="K7" s="9"/>
      <c r="L7" s="9"/>
      <c r="M7" s="9"/>
    </row>
    <row r="8" spans="1:13">
      <c r="A8" s="9"/>
      <c r="B8" s="9"/>
      <c r="C8" s="9"/>
      <c r="D8" s="9"/>
      <c r="E8" s="6">
        <v>0</v>
      </c>
      <c r="F8" s="8">
        <v>0</v>
      </c>
      <c r="G8" s="5">
        <f>E8*F8</f>
        <v>0</v>
      </c>
      <c r="H8" s="6">
        <v>0</v>
      </c>
      <c r="I8" s="6">
        <v>0</v>
      </c>
      <c r="J8" s="9"/>
      <c r="K8" s="9"/>
      <c r="L8" s="9"/>
      <c r="M8" s="9"/>
    </row>
    <row r="9" spans="1:13">
      <c r="A9" s="9"/>
      <c r="B9" s="9"/>
      <c r="C9" s="9"/>
      <c r="D9" s="9"/>
      <c r="E9" s="6">
        <v>0</v>
      </c>
      <c r="F9" s="8">
        <v>0</v>
      </c>
      <c r="G9" s="5">
        <f>E9*F9</f>
        <v>0</v>
      </c>
      <c r="H9" s="6">
        <v>0</v>
      </c>
      <c r="I9" s="6">
        <v>0</v>
      </c>
      <c r="J9" s="9"/>
      <c r="K9" s="9"/>
      <c r="L9" s="9"/>
      <c r="M9" s="9"/>
    </row>
    <row r="10" spans="1:13">
      <c r="A10" s="9"/>
      <c r="B10" s="9"/>
      <c r="C10" s="9"/>
      <c r="D10" s="9"/>
      <c r="E10" s="6">
        <v>0</v>
      </c>
      <c r="F10" s="8">
        <v>0</v>
      </c>
      <c r="G10" s="5">
        <f>E10*F10</f>
        <v>0</v>
      </c>
      <c r="H10" s="6">
        <v>0</v>
      </c>
      <c r="I10" s="6">
        <v>0</v>
      </c>
      <c r="J10" s="9"/>
      <c r="K10" s="9"/>
      <c r="L10" s="9"/>
      <c r="M10" s="9"/>
    </row>
    <row r="11" spans="1:13">
      <c r="A11" s="9"/>
      <c r="B11" s="9"/>
      <c r="C11" s="9"/>
      <c r="D11" s="9"/>
      <c r="E11" s="6">
        <v>0</v>
      </c>
      <c r="F11" s="8">
        <v>0</v>
      </c>
      <c r="G11" s="5">
        <f>E11*F11</f>
        <v>0</v>
      </c>
      <c r="H11" s="6">
        <v>0</v>
      </c>
      <c r="I11" s="6">
        <v>0</v>
      </c>
      <c r="J11" s="9"/>
      <c r="K11" s="9"/>
      <c r="L11" s="9"/>
      <c r="M11" s="9"/>
    </row>
    <row r="12" spans="1:13">
      <c r="A12" s="9"/>
      <c r="B12" s="9"/>
      <c r="C12" s="9"/>
      <c r="D12" s="9"/>
      <c r="E12" s="6">
        <v>0</v>
      </c>
      <c r="F12" s="8">
        <v>0</v>
      </c>
      <c r="G12" s="5">
        <f>E12*F12</f>
        <v>0</v>
      </c>
      <c r="H12" s="6">
        <v>0</v>
      </c>
      <c r="I12" s="6">
        <v>0</v>
      </c>
      <c r="J12" s="9"/>
      <c r="K12" s="9"/>
      <c r="L12" s="9"/>
      <c r="M12" s="9"/>
    </row>
    <row r="13" spans="1:13">
      <c r="A13" s="9"/>
      <c r="B13" s="9"/>
      <c r="C13" s="9"/>
      <c r="D13" s="9"/>
      <c r="E13" s="6">
        <v>0</v>
      </c>
      <c r="F13" s="8">
        <v>0</v>
      </c>
      <c r="G13" s="5">
        <f>E13*F13</f>
        <v>0</v>
      </c>
      <c r="H13" s="6">
        <v>0</v>
      </c>
      <c r="I13" s="6">
        <v>0</v>
      </c>
      <c r="J13" s="9"/>
      <c r="K13" s="9"/>
      <c r="L13" s="9"/>
      <c r="M13" s="9"/>
    </row>
    <row r="14" spans="1:13">
      <c r="A14" s="9"/>
      <c r="B14" s="9"/>
      <c r="C14" s="9"/>
      <c r="D14" s="9"/>
      <c r="E14" s="6">
        <v>0</v>
      </c>
      <c r="F14" s="8">
        <v>0</v>
      </c>
      <c r="G14" s="5">
        <f>E14*F14</f>
        <v>0</v>
      </c>
      <c r="H14" s="6">
        <v>0</v>
      </c>
      <c r="I14" s="6">
        <v>0</v>
      </c>
      <c r="J14" s="9"/>
      <c r="K14" s="9"/>
      <c r="L14" s="9"/>
      <c r="M14" s="9"/>
    </row>
    <row r="15" spans="1:13">
      <c r="A15" s="9"/>
      <c r="B15" s="9"/>
      <c r="C15" s="9"/>
      <c r="D15" s="9"/>
      <c r="E15" s="6">
        <v>0</v>
      </c>
      <c r="F15" s="8">
        <v>0</v>
      </c>
      <c r="G15" s="5">
        <f>E15*F15</f>
        <v>0</v>
      </c>
      <c r="H15" s="6">
        <v>0</v>
      </c>
      <c r="I15" s="6">
        <v>0</v>
      </c>
      <c r="J15" s="9"/>
      <c r="K15" s="9"/>
      <c r="L15" s="9"/>
      <c r="M15" s="9"/>
    </row>
    <row r="16" spans="1:13">
      <c r="A16" s="9"/>
      <c r="B16" s="9"/>
      <c r="C16" s="9"/>
      <c r="D16" s="9"/>
      <c r="E16" s="6">
        <v>0</v>
      </c>
      <c r="F16" s="8">
        <v>0</v>
      </c>
      <c r="G16" s="5">
        <f>E16*F16</f>
        <v>0</v>
      </c>
      <c r="H16" s="6">
        <v>0</v>
      </c>
      <c r="I16" s="6">
        <v>0</v>
      </c>
      <c r="J16" s="9"/>
      <c r="K16" s="9"/>
      <c r="L16" s="9"/>
      <c r="M16" s="9"/>
    </row>
    <row r="17" spans="1:13">
      <c r="A17" s="9"/>
      <c r="B17" s="9"/>
      <c r="C17" s="9"/>
      <c r="D17" s="9"/>
      <c r="E17" s="6">
        <v>0</v>
      </c>
      <c r="F17" s="8">
        <v>0</v>
      </c>
      <c r="G17" s="5">
        <f>E17*F17</f>
        <v>0</v>
      </c>
      <c r="H17" s="6">
        <v>0</v>
      </c>
      <c r="I17" s="6">
        <v>0</v>
      </c>
      <c r="J17" s="9"/>
      <c r="K17" s="9"/>
      <c r="L17" s="9"/>
      <c r="M17" s="9"/>
    </row>
    <row r="18" spans="1:13">
      <c r="A18" s="9"/>
      <c r="B18" s="9"/>
      <c r="C18" s="9"/>
      <c r="D18" s="9"/>
      <c r="E18" s="6">
        <v>0</v>
      </c>
      <c r="F18" s="8">
        <v>0</v>
      </c>
      <c r="G18" s="5">
        <f>E18*F18</f>
        <v>0</v>
      </c>
      <c r="H18" s="6">
        <v>0</v>
      </c>
      <c r="I18" s="6">
        <v>0</v>
      </c>
      <c r="J18" s="9"/>
      <c r="K18" s="9"/>
      <c r="L18" s="9"/>
      <c r="M18" s="9"/>
    </row>
    <row r="19" spans="1:13">
      <c r="A19" s="9"/>
      <c r="B19" s="9"/>
      <c r="C19" s="9"/>
      <c r="D19" s="9"/>
      <c r="E19" s="6">
        <v>0</v>
      </c>
      <c r="F19" s="8">
        <v>0</v>
      </c>
      <c r="G19" s="5">
        <f>E19*F19</f>
        <v>0</v>
      </c>
      <c r="H19" s="6">
        <v>0</v>
      </c>
      <c r="I19" s="6">
        <v>0</v>
      </c>
      <c r="J19" s="9"/>
      <c r="K19" s="9"/>
      <c r="L19" s="9"/>
      <c r="M19" s="9"/>
    </row>
    <row r="20" spans="1:13">
      <c r="A20" s="9"/>
      <c r="B20" s="9"/>
      <c r="C20" s="9"/>
      <c r="D20" s="9"/>
      <c r="E20" s="6">
        <v>0</v>
      </c>
      <c r="F20" s="8">
        <v>0</v>
      </c>
      <c r="G20" s="5">
        <f>E20*F20</f>
        <v>0</v>
      </c>
      <c r="H20" s="6">
        <v>0</v>
      </c>
      <c r="I20" s="6">
        <v>0</v>
      </c>
      <c r="J20" s="9"/>
      <c r="K20" s="9"/>
      <c r="L20" s="9"/>
      <c r="M20" s="9"/>
    </row>
    <row r="21" spans="1:13">
      <c r="A21" s="9"/>
      <c r="B21" s="9"/>
      <c r="C21" s="9"/>
      <c r="D21" s="9"/>
      <c r="E21" s="6">
        <v>0</v>
      </c>
      <c r="F21" s="8">
        <v>0</v>
      </c>
      <c r="G21" s="5">
        <f>E21*F21</f>
        <v>0</v>
      </c>
      <c r="H21" s="6">
        <v>0</v>
      </c>
      <c r="I21" s="6">
        <v>0</v>
      </c>
      <c r="J21" s="9"/>
      <c r="K21" s="9"/>
      <c r="L21" s="9"/>
      <c r="M21" s="9"/>
    </row>
    <row r="22" spans="1:13">
      <c r="A22" s="9"/>
      <c r="B22" s="9"/>
      <c r="C22" s="9"/>
      <c r="D22" s="9"/>
      <c r="E22" s="6">
        <v>0</v>
      </c>
      <c r="F22" s="8">
        <v>0</v>
      </c>
      <c r="G22" s="5">
        <f>E22*F22</f>
        <v>0</v>
      </c>
      <c r="H22" s="6">
        <v>0</v>
      </c>
      <c r="I22" s="6">
        <v>0</v>
      </c>
      <c r="J22" s="9"/>
      <c r="K22" s="9"/>
      <c r="L22" s="9"/>
      <c r="M22" s="9"/>
    </row>
    <row r="23" spans="1:13">
      <c r="A23" s="9"/>
      <c r="B23" s="9"/>
      <c r="C23" s="9"/>
      <c r="D23" s="9"/>
      <c r="E23" s="6">
        <v>0</v>
      </c>
      <c r="F23" s="8">
        <v>0</v>
      </c>
      <c r="G23" s="5">
        <f>E23*F23</f>
        <v>0</v>
      </c>
      <c r="H23" s="6">
        <v>0</v>
      </c>
      <c r="I23" s="6">
        <v>0</v>
      </c>
      <c r="J23" s="9"/>
      <c r="K23" s="9"/>
      <c r="L23" s="9"/>
      <c r="M23" s="9"/>
    </row>
    <row r="25" spans="1:13">
      <c r="D25" s="2" t="s">
        <v>62</v>
      </c>
      <c r="E25" s="5">
        <f>SUM(E4:E23)</f>
        <v>0</v>
      </c>
      <c r="G25" s="5">
        <f>SUM(G4:G23)</f>
        <v>0</v>
      </c>
      <c r="H25" s="5">
        <f>SUM(H4:H23)</f>
        <v>0</v>
      </c>
      <c r="I25" s="5">
        <f>SUM(I4:I23)</f>
        <v>0</v>
      </c>
    </row>
    <row r="28" spans="1:13">
      <c r="A28" s="3" t="s">
        <v>63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</sheetData>
  <mergeCells count="2">
    <mergeCell ref="A1:M1"/>
    <mergeCell ref="A28:M30"/>
  </mergeCells>
  <dataValidations count="4">
    <dataValidation type="list" allowBlank="1" showInputMessage="1" showErrorMessage="1" sqref="D4:D23">
      <formula1>"Prospect,Discovery,Qualified,Proposal,Contract,Invoice,Paid,Delivered,Renewal,Lost"</formula1>
    </dataValidation>
    <dataValidation type="decimal" allowBlank="1" showInputMessage="1" showErrorMessage="1" sqref="F4:F23">
      <formula1>0</formula1>
      <formula2>1</formula2>
    </dataValidation>
    <dataValidation type="decimal" operator="greaterThanOrEqual" allowBlank="1" showInputMessage="1" showErrorMessage="1" sqref="E4:E23">
      <formula1>0</formula1>
    </dataValidation>
    <dataValidation type="decimal" operator="greaterThanOrEqual" allowBlank="1" showInputMessage="1" showErrorMessage="1" sqref="H4:I2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8.7109375" customWidth="1"/>
    <col min="2" max="2" width="25.7109375" customWidth="1"/>
    <col min="4" max="4" width="45.7109375" customWidth="1"/>
  </cols>
  <sheetData>
    <row r="1" spans="1:4" ht="30" customHeight="1">
      <c r="A1" s="1" t="s">
        <v>64</v>
      </c>
      <c r="B1" s="1"/>
      <c r="C1" s="1"/>
      <c r="D1" s="1"/>
    </row>
    <row r="4" spans="1:4">
      <c r="A4" s="2" t="s">
        <v>65</v>
      </c>
      <c r="B4" s="6">
        <v>2000000</v>
      </c>
    </row>
    <row r="5" spans="1:4">
      <c r="A5" s="2" t="s">
        <v>66</v>
      </c>
      <c r="B5" s="8">
        <v>0.15</v>
      </c>
    </row>
    <row r="6" spans="1:4">
      <c r="A6" s="2" t="s">
        <v>67</v>
      </c>
      <c r="B6" s="8">
        <v>0.2</v>
      </c>
    </row>
    <row r="7" spans="1:4">
      <c r="A7" s="2" t="s">
        <v>68</v>
      </c>
      <c r="B7" s="6">
        <v>0</v>
      </c>
    </row>
    <row r="10" spans="1:4">
      <c r="A10" s="2" t="s">
        <v>69</v>
      </c>
      <c r="B10" s="5">
        <f>B4*(1+B5)</f>
        <v>2300000</v>
      </c>
    </row>
    <row r="11" spans="1:4">
      <c r="A11" s="2" t="s">
        <v>70</v>
      </c>
      <c r="B11" s="5">
        <f>B10/(1-B6)</f>
        <v>2875000</v>
      </c>
    </row>
    <row r="12" spans="1:4">
      <c r="A12" s="2" t="s">
        <v>71</v>
      </c>
      <c r="B12" s="5">
        <f>MAX(0,B10-B7)</f>
        <v>2300000</v>
      </c>
    </row>
    <row r="13" spans="1:4">
      <c r="A13" s="2" t="s">
        <v>72</v>
      </c>
      <c r="B13" s="2" t="str">
        <f>IF(B7&gt;=B10,"Cash covered; check other gates","HOLD: cash not covered")</f>
        <v>HOLD: cash not covered</v>
      </c>
    </row>
    <row r="16" spans="1:4">
      <c r="A16" s="3" t="s">
        <v>73</v>
      </c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</sheetData>
  <mergeCells count="2">
    <mergeCell ref="A1:D1"/>
    <mergeCell ref="A16:D19"/>
  </mergeCells>
  <dataValidations count="3">
    <dataValidation type="decimal" operator="greaterThanOrEqual" allowBlank="1" showInputMessage="1" showErrorMessage="1" sqref="B4">
      <formula1>0</formula1>
    </dataValidation>
    <dataValidation type="decimal" operator="greaterThanOrEqual" allowBlank="1" showInputMessage="1" showErrorMessage="1" sqref="B7">
      <formula1>0</formula1>
    </dataValidation>
    <dataValidation type="decimal" allowBlank="1" showInputMessage="1" showErrorMessage="1" sqref="B5:B6">
      <formula1>0</formula1>
      <formula2>0.99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4.7109375" customWidth="1"/>
    <col min="2" max="2" width="25.7109375" customWidth="1"/>
    <col min="4" max="4" width="60.7109375" customWidth="1"/>
  </cols>
  <sheetData>
    <row r="1" spans="1:4" ht="30" customHeight="1">
      <c r="A1" s="1" t="s">
        <v>74</v>
      </c>
      <c r="B1" s="1"/>
      <c r="C1" s="1"/>
      <c r="D1" s="1"/>
    </row>
    <row r="4" spans="1:4">
      <c r="A4" s="2" t="s">
        <v>75</v>
      </c>
      <c r="B4" s="6">
        <v>0</v>
      </c>
      <c r="D4" s="3" t="s">
        <v>89</v>
      </c>
    </row>
    <row r="5" spans="1:4">
      <c r="A5" s="2" t="s">
        <v>76</v>
      </c>
      <c r="B5" s="6">
        <v>0</v>
      </c>
      <c r="D5" s="3"/>
    </row>
    <row r="6" spans="1:4">
      <c r="A6" s="2" t="s">
        <v>77</v>
      </c>
      <c r="B6" s="4">
        <v>0</v>
      </c>
      <c r="D6" s="3"/>
    </row>
    <row r="7" spans="1:4">
      <c r="A7" s="2" t="s">
        <v>78</v>
      </c>
      <c r="B7" s="4">
        <v>0</v>
      </c>
      <c r="D7" s="3"/>
    </row>
    <row r="8" spans="1:4">
      <c r="A8" s="2" t="s">
        <v>79</v>
      </c>
      <c r="B8" s="4">
        <v>0</v>
      </c>
      <c r="D8" s="3"/>
    </row>
    <row r="9" spans="1:4">
      <c r="A9" s="2" t="s">
        <v>80</v>
      </c>
      <c r="B9" s="4">
        <v>0</v>
      </c>
      <c r="D9" s="3"/>
    </row>
    <row r="10" spans="1:4">
      <c r="A10" s="2" t="s">
        <v>81</v>
      </c>
      <c r="B10" s="6">
        <v>0</v>
      </c>
      <c r="D10" s="3"/>
    </row>
    <row r="11" spans="1:4">
      <c r="A11" s="2" t="s">
        <v>82</v>
      </c>
      <c r="B11" s="6">
        <v>0</v>
      </c>
      <c r="D11" s="3"/>
    </row>
    <row r="12" spans="1:4">
      <c r="A12" s="2" t="s">
        <v>83</v>
      </c>
      <c r="B12" s="6">
        <v>0</v>
      </c>
      <c r="D12" s="3"/>
    </row>
    <row r="15" spans="1:4">
      <c r="A15" s="2" t="s">
        <v>84</v>
      </c>
      <c r="B15" t="str">
        <f>IF(B5&gt;0,B4/B5,"Enter actual burn / not applicable")</f>
        <v>Enter actual burn / not applicable</v>
      </c>
    </row>
    <row r="16" spans="1:4">
      <c r="A16" s="2" t="s">
        <v>85</v>
      </c>
      <c r="B16" s="7">
        <f>IF(B7&gt;0,B9/B7,0)</f>
        <v>0</v>
      </c>
    </row>
    <row r="17" spans="1:2">
      <c r="A17" s="2" t="s">
        <v>86</v>
      </c>
      <c r="B17" s="7">
        <f>IF(B10&gt;0,B11/B10,0)</f>
        <v>0</v>
      </c>
    </row>
    <row r="18" spans="1:2">
      <c r="A18" s="2" t="s">
        <v>87</v>
      </c>
      <c r="B18">
        <f>B7+B8-B9</f>
        <v>0</v>
      </c>
    </row>
    <row r="19" spans="1:2">
      <c r="A19" s="2" t="s">
        <v>88</v>
      </c>
      <c r="B19">
        <f>B6-B18</f>
        <v>0</v>
      </c>
    </row>
  </sheetData>
  <mergeCells count="2">
    <mergeCell ref="A1:D1"/>
    <mergeCell ref="D4:D12"/>
  </mergeCells>
  <conditionalFormatting sqref="B17">
    <cfRule type="cellIs" dxfId="0" priority="1" operator="greaterThan">
      <formula>0.25</formula>
    </cfRule>
  </conditionalFormatting>
  <dataValidations count="1">
    <dataValidation type="decimal" operator="greaterThanOrEqual" allowBlank="1" showInputMessage="1" showErrorMessage="1" sqref="B4:B1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Model</vt:lpstr>
      <vt:lpstr>Cash 13 weeks</vt:lpstr>
      <vt:lpstr>Pipeline</vt:lpstr>
      <vt:lpstr>Special edition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Church Times Nigeria — proposed operating system</dc:title>
  <dc:creator/>
  <dc:description>Planning assumptions only. Not company accounts.</dc:description>
  <cp:lastModifiedBy/>
  <dcterms:created xsi:type="dcterms:W3CDTF">2026-10-05T15:35:51Z</dcterms:created>
  <dcterms:modified xsi:type="dcterms:W3CDTF">2026-10-05T15:35:51Z</dcterms:modified>
</cp:coreProperties>
</file>